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V:\TRACFIN\CARTOGRAPHIE RISQUES\"/>
    </mc:Choice>
  </mc:AlternateContent>
  <xr:revisionPtr revIDLastSave="0" documentId="13_ncr:1_{21636D09-129C-4ECF-8E82-1DDBF69121BF}" xr6:coauthVersionLast="47" xr6:coauthVersionMax="47" xr10:uidLastSave="{00000000-0000-0000-0000-000000000000}"/>
  <bookViews>
    <workbookView xWindow="-57720" yWindow="-120" windowWidth="29040" windowHeight="15720" xr2:uid="{F25A642C-05C8-441A-AF65-CCA449030ED1}"/>
  </bookViews>
  <sheets>
    <sheet name="Cartographie des risqu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9" i="1" l="1"/>
  <c r="C117" i="1" s="1"/>
  <c r="D92" i="1"/>
  <c r="C116" i="1" s="1"/>
  <c r="D62" i="1"/>
  <c r="C112" i="1" s="1"/>
  <c r="D33" i="1"/>
  <c r="C109" i="1" s="1"/>
  <c r="D50" i="1"/>
  <c r="C111" i="1" s="1"/>
  <c r="D21" i="1"/>
  <c r="C108" i="1" s="1"/>
  <c r="D80" i="1"/>
  <c r="C115" i="1" s="1"/>
  <c r="D75" i="1"/>
  <c r="C114" i="1" s="1"/>
  <c r="D101" i="1" l="1"/>
</calcChain>
</file>

<file path=xl/sharedStrings.xml><?xml version="1.0" encoding="utf-8"?>
<sst xmlns="http://schemas.openxmlformats.org/spreadsheetml/2006/main" count="221" uniqueCount="91">
  <si>
    <t>Legende</t>
  </si>
  <si>
    <t>Risque Elevé</t>
  </si>
  <si>
    <t>Risque Modéré</t>
  </si>
  <si>
    <t>Risque Faible</t>
  </si>
  <si>
    <t>Oui/Non</t>
  </si>
  <si>
    <t>Score</t>
  </si>
  <si>
    <t xml:space="preserve">Oui </t>
  </si>
  <si>
    <t>Il existe des liens entre l'acquéreur et le vendeur (parenté, amical, professionnel etc.)</t>
  </si>
  <si>
    <t xml:space="preserve">Financement de l'opération </t>
  </si>
  <si>
    <t>Mesures de vigilance</t>
  </si>
  <si>
    <t>Scoring</t>
  </si>
  <si>
    <t>Oui</t>
  </si>
  <si>
    <t xml:space="preserve">Modalités de l'opération </t>
  </si>
  <si>
    <t>Synthèse risque client</t>
  </si>
  <si>
    <t xml:space="preserve">Critères de risque </t>
  </si>
  <si>
    <t>Modalités de l'opération</t>
  </si>
  <si>
    <t>Financement de l'opération</t>
  </si>
  <si>
    <t xml:space="preserve">Mesures de vigilance </t>
  </si>
  <si>
    <t>SCORING</t>
  </si>
  <si>
    <t xml:space="preserve">Absence de risque </t>
  </si>
  <si>
    <t>Cartographie des risques I@D France</t>
  </si>
  <si>
    <t>Le bien est un bien de prestige :
- Paris = montant ≥ à 1 500 000€
- Var et Alpes-Maritimes = montant ≥ à 1 000 000€
- Ile-de-France (hors Paris) = montant ≥ à  800 000€
- Pour le reste de la France = montant ≥ à 600 000€</t>
  </si>
  <si>
    <t>Préconisations iad France</t>
  </si>
  <si>
    <t>RENSEIGNEMENTS VENDEUR</t>
  </si>
  <si>
    <t>RENSEIGNEMENTS ACQUEREUR</t>
  </si>
  <si>
    <t>Client Acquéreur - Personne Physique</t>
  </si>
  <si>
    <t>Client Vendeur - Personne Physique</t>
  </si>
  <si>
    <t>Client Vendeur - Personne Morale</t>
  </si>
  <si>
    <t>Client Acquéreur - Personne Morale</t>
  </si>
  <si>
    <t>CARACTERISTIQUES DE L'OPERATION CONCERNEE</t>
  </si>
  <si>
    <t>Vous avez des difficultés pour identifier le vendeur de l'opération envisagée</t>
  </si>
  <si>
    <t>SOUS-TOTAL</t>
  </si>
  <si>
    <t>Vous avez des difficultés pour identifier l'acquéreur  de l'opération envisagée</t>
  </si>
  <si>
    <t>Risques maximums</t>
  </si>
  <si>
    <t>Bloc "Vendeur"</t>
  </si>
  <si>
    <t>Bloc "Acquéreur"</t>
  </si>
  <si>
    <r>
      <t>Au titre de la</t>
    </r>
    <r>
      <rPr>
        <b/>
        <sz val="11"/>
        <color rgb="FFFF0000"/>
        <rFont val="Aptos Narrow"/>
        <family val="2"/>
        <scheme val="minor"/>
      </rPr>
      <t xml:space="preserve"> vigilance renforcée</t>
    </r>
    <r>
      <rPr>
        <sz val="11"/>
        <color rgb="FFFF0000"/>
        <rFont val="Aptos Narrow"/>
        <family val="2"/>
        <scheme val="minor"/>
      </rPr>
      <t>, vous devez mettre un terme immédiat à la relation d'affaires et effectuer un signalement détaillé au Correspondant TRACFIN I@D France.</t>
    </r>
  </si>
  <si>
    <t>Caractéristiques de l'opération concernée</t>
  </si>
  <si>
    <t xml:space="preserve">Caractéristiques géographiques du bien </t>
  </si>
  <si>
    <r>
      <t xml:space="preserve">Mettre en place l'une des mesures de </t>
    </r>
    <r>
      <rPr>
        <b/>
        <sz val="11"/>
        <color rgb="FFFF0000"/>
        <rFont val="Aptos Narrow"/>
        <family val="2"/>
        <scheme val="minor"/>
      </rPr>
      <t>vigilance complémentaire</t>
    </r>
    <r>
      <rPr>
        <sz val="11"/>
        <color rgb="FFFF0000"/>
        <rFont val="Aptos Narrow"/>
        <family val="2"/>
        <scheme val="minor"/>
      </rPr>
      <t xml:space="preserve"> détaillée dans le Livret des bonnes pratiques LAB-FT</t>
    </r>
  </si>
  <si>
    <r>
      <t xml:space="preserve">Mettre en place l'une des mesures de </t>
    </r>
    <r>
      <rPr>
        <b/>
        <sz val="11"/>
        <color rgb="FFFF0000"/>
        <rFont val="Aptos Narrow"/>
        <family val="2"/>
        <scheme val="minor"/>
      </rPr>
      <t>vigilance complémentaire</t>
    </r>
    <r>
      <rPr>
        <sz val="11"/>
        <color rgb="FFFF0000"/>
        <rFont val="Aptos Narrow"/>
        <family val="2"/>
        <scheme val="minor"/>
      </rPr>
      <t xml:space="preserve"> détaillée dans Livret des bonnes pratiques LAB-FT</t>
    </r>
  </si>
  <si>
    <r>
      <t xml:space="preserve">Au titre de la </t>
    </r>
    <r>
      <rPr>
        <b/>
        <sz val="11"/>
        <color rgb="FFFF0000"/>
        <rFont val="Aptos Narrow"/>
        <family val="2"/>
        <scheme val="minor"/>
      </rPr>
      <t>vigilance renforcée</t>
    </r>
    <r>
      <rPr>
        <sz val="11"/>
        <color rgb="FFFF0000"/>
        <rFont val="Aptos Narrow"/>
        <family val="2"/>
        <scheme val="minor"/>
      </rPr>
      <t>, vous devez mettre un terme immédiat à la relation d'affaires et effectuer un signalement détaillé au Correspondant TRACFIN I@D France</t>
    </r>
  </si>
  <si>
    <t>Location d'un bien notamment avec versements en espèces</t>
  </si>
  <si>
    <t>L'origine des fonds est inconnue</t>
  </si>
  <si>
    <t>Vous avez des difficultés pour identifier le ou les bénéficiaires réels de l'opération</t>
  </si>
  <si>
    <t>L'acquéreur fait l'objet d'une mesure de gel des avoirs</t>
  </si>
  <si>
    <r>
      <t xml:space="preserve">L'acquéreur exerce une activité dans un secteur d'activité réputé à risque </t>
    </r>
    <r>
      <rPr>
        <i/>
        <sz val="11"/>
        <rFont val="Aptos Narrow"/>
        <family val="2"/>
        <scheme val="minor"/>
      </rPr>
      <t>(BTP, sociétés de surveillance, formation professionnelle, secteur hôtelier, restauration rapide, cartes prépayées, rénovation énergétique, dépannage à domicile, cryptomonnaie....)</t>
    </r>
  </si>
  <si>
    <t>Vous n'avez jamais vu physiquement l'acquéreur aux fins de l’identifier</t>
  </si>
  <si>
    <t>L'acquéreur est représenté par un tiers sans détenir de pouvoir ni de copie de la pièce d'identité de l'acquéreur ou du vendeur</t>
  </si>
  <si>
    <t>L'acquéreur achète le bien sans l'avoir visité "physiquement"</t>
  </si>
  <si>
    <r>
      <t>La personne morale exerce une activité dans un secteur d'activité réputé à risque</t>
    </r>
    <r>
      <rPr>
        <i/>
        <sz val="11"/>
        <rFont val="Aptos Narrow"/>
        <family val="2"/>
        <scheme val="minor"/>
      </rPr>
      <t xml:space="preserve"> (BTP, sociétés de surveillance, formation professionnelle, secteur hôtelier, restauration rapide, cartes prépayées, rénovation énergétique, dépannage à domicile, cryptomonnaie....)</t>
    </r>
  </si>
  <si>
    <t>La personne morale est représentée par un tiers sans détenir de pouvoir ni de copie de la pièce d'identité du représentant légal</t>
  </si>
  <si>
    <t>Le représentant légal ou au moins l'un des Bénéficiaire Effectif fait l'objet d'une mesure de gel des avoirs</t>
  </si>
  <si>
    <t>Vous avez des difficultés pour identifier le représentant légal de la persone morale (acquéreur ou vendeur)</t>
  </si>
  <si>
    <t>Vous avez des difficultés pour identifier le/les Bénéficiaire(s) Effectif(s)</t>
  </si>
  <si>
    <t>Le vendeur est représenté par un tiers sans détenir de pouvoir ni de copie de la pièce d'identité de l'acquéreur ou du vendeur</t>
  </si>
  <si>
    <t>Vous n'avez jamais vu physiquement le vendeur aux fins de l’identifier</t>
  </si>
  <si>
    <r>
      <t xml:space="preserve">Le vendeur exerce une activité dans un secteur d'activité réputé à risque </t>
    </r>
    <r>
      <rPr>
        <i/>
        <sz val="11"/>
        <rFont val="Aptos Narrow"/>
        <family val="2"/>
        <scheme val="minor"/>
      </rPr>
      <t>(BTP, sociétés de surveillance, formation professionnelle, secteur hôtelier, restauration rapide, cartes prépayées, rénovation énergétique, dépannage à domicile, cryptomonnaie....)</t>
    </r>
  </si>
  <si>
    <t>Le vendeur fait l'objet d'une mesure de gel des avoirs</t>
  </si>
  <si>
    <r>
      <t>Au titre de la</t>
    </r>
    <r>
      <rPr>
        <b/>
        <sz val="11"/>
        <color rgb="FFFF0000"/>
        <rFont val="Aptos Narrow"/>
        <family val="2"/>
        <scheme val="minor"/>
      </rPr>
      <t xml:space="preserve"> vigilance renforcée</t>
    </r>
    <r>
      <rPr>
        <sz val="11"/>
        <color rgb="FFFF0000"/>
        <rFont val="Aptos Narrow"/>
        <family val="2"/>
        <scheme val="minor"/>
      </rPr>
      <t>, vous devez mettre un terme immédiat à la relation d'affaires et effectuer un signalement détaillé au Correspondant TRACFIN I@D France</t>
    </r>
  </si>
  <si>
    <t>Vous avez des difficultés pour obtenir des informations sur l’objet et la nature de la relation d’affaires</t>
  </si>
  <si>
    <t>L'opération envisagée implique plusieurs intermédiaires ou sociétés complexes</t>
  </si>
  <si>
    <t>Le prix de vente est anormalement élevé, minoré ou manifestement déséquilibré (il existe une discordance importante entre l’estimation du bien et sa valeur réelle)</t>
  </si>
  <si>
    <t>L'acquéreur ne procède à aucune négociation sur le prix du bien</t>
  </si>
  <si>
    <t>L'acquéreur ou le vendeur se substitue au moment de la signature de l'acte</t>
  </si>
  <si>
    <t>Il existe un déséquilibre entre l’opération envisagée, le patrimoine, le revenu et l’activité de l'acquéreur</t>
  </si>
  <si>
    <t>L'achat du bien s'inscrit dans une succession d'achats ou ventes sucessifs dans un temps bref</t>
  </si>
  <si>
    <t>Les fonds proviennent d'une banque située hors UE ou dans un pays fiscalité privilégiée</t>
  </si>
  <si>
    <t>Le paiement provient d’un tiers sans justification du lien juridique qui pourrait légitimer cette intervention au profit du client</t>
  </si>
  <si>
    <t>Le vendeur demande que le versement des sommes qui lui sont dues soit effectué à une tierce personne</t>
  </si>
  <si>
    <t>L'acquéreur a recours à un montage financier complexe (fonds provenant de plusieurs comptes bancaires, intervention de plusieurs intermédiaires...)</t>
  </si>
  <si>
    <t>Les documents produits (ex : papiers d’identité, k-bis) sont volés ou faux</t>
  </si>
  <si>
    <t>L’identité d’une personne physique ou morale est usurpée</t>
  </si>
  <si>
    <t>Difficultés ou impossibilité d’obtenir des informations</t>
  </si>
  <si>
    <t>L’absence de réponse aux questions</t>
  </si>
  <si>
    <t>Le vendeur réside dans un pays à fiscalité privilégiée (ex. Suisse, Lischtenstien...).</t>
  </si>
  <si>
    <t>La personne morale, son représentant légal et/ou le/les Bénéficiaire(s) Effectif(s) résident dans un pays à fiscalité privilégiée (ex. Suisse, Lischtenstien...)</t>
  </si>
  <si>
    <t>L'acquéreur réside dans un pays à fiscalité privilégiée (ex Suisse, Lischtenstien...).</t>
  </si>
  <si>
    <t>Le bien est situé dans une zone à risque telle que la Corse, la Côte d'Azur, Paris, DROM-COM (Départements et Régions d'outre-mer et Collectivités d'outre mer)…</t>
  </si>
  <si>
    <t>Le vendeur est une personne politiquement exposée (PPE), qu'elle ait été en fonction ou qu'elle le soit</t>
  </si>
  <si>
    <t>L'acquéreur est une personne politiquement exposée (PPE), qu'elle ait été en fonction ou qu'elle le soit</t>
  </si>
  <si>
    <t>Achat d'un bien avec versement du prix et/ou des honoraires de transaction en tout ou partie en espèces (cash) ou via des fonds issus de la vente de cryptoactifs</t>
  </si>
  <si>
    <r>
      <t xml:space="preserve">Le vendeur réside dans un pays situé en zone de guerre ou figurant sur liste noire du GAFI (voir </t>
    </r>
    <r>
      <rPr>
        <b/>
        <sz val="11"/>
        <color rgb="FF000000"/>
        <rFont val="Aptos Narrow"/>
        <family val="2"/>
        <scheme val="minor"/>
      </rPr>
      <t xml:space="preserve">Annexe 4 </t>
    </r>
    <r>
      <rPr>
        <sz val="11"/>
        <color rgb="FF000000"/>
        <rFont val="Aptos Narrow"/>
        <family val="2"/>
        <scheme val="minor"/>
      </rPr>
      <t xml:space="preserve">du Livret des bonnes pratiques LAB/FT). </t>
    </r>
  </si>
  <si>
    <r>
      <t xml:space="preserve">Le vendeur réside dans un pays figurant sur liste grise du GAFI (voir </t>
    </r>
    <r>
      <rPr>
        <b/>
        <sz val="11"/>
        <rFont val="Aptos Narrow"/>
        <family val="2"/>
        <scheme val="minor"/>
      </rPr>
      <t>Annexe 4</t>
    </r>
    <r>
      <rPr>
        <sz val="11"/>
        <rFont val="Aptos Narrow"/>
        <family val="2"/>
        <scheme val="minor"/>
      </rPr>
      <t xml:space="preserve"> du Livret des bonnes pratiques LAB/FT)</t>
    </r>
  </si>
  <si>
    <r>
      <t xml:space="preserve">La personne morale, son représentant légal et/ou le/les Bénéficiaire(s) Effectif(s) résident dans un pays situé en zone de guerre ou figurant sur liste  noire  du GAFI (voir </t>
    </r>
    <r>
      <rPr>
        <b/>
        <sz val="11"/>
        <color rgb="FF000000"/>
        <rFont val="Aptos Narrow"/>
        <family val="2"/>
        <scheme val="minor"/>
      </rPr>
      <t>Annexe 4</t>
    </r>
    <r>
      <rPr>
        <sz val="11"/>
        <color rgb="FF000000"/>
        <rFont val="Aptos Narrow"/>
        <family val="2"/>
        <scheme val="minor"/>
      </rPr>
      <t xml:space="preserve"> du Livret des bonnes pratiques LAB/FT). </t>
    </r>
  </si>
  <si>
    <r>
      <t xml:space="preserve">La personne morale, son représentant légal et/ou le/les Bénéficiaire(s) Effectif(s) résident dans un pays figurant sur liste grise du GAFI (voir </t>
    </r>
    <r>
      <rPr>
        <b/>
        <sz val="11"/>
        <rFont val="Aptos Narrow"/>
        <family val="2"/>
        <scheme val="minor"/>
      </rPr>
      <t>Annexe 4</t>
    </r>
    <r>
      <rPr>
        <sz val="11"/>
        <rFont val="Aptos Narrow"/>
        <family val="2"/>
        <scheme val="minor"/>
      </rPr>
      <t xml:space="preserve"> du Livret des bonnes pratiques LAB/FT)</t>
    </r>
  </si>
  <si>
    <r>
      <t xml:space="preserve">L'acquéreur réside dans un pays situé en zone de guerre ou figurant sur liste noire du GAFI (voir </t>
    </r>
    <r>
      <rPr>
        <b/>
        <sz val="11"/>
        <color rgb="FF000000"/>
        <rFont val="Aptos Narrow"/>
        <family val="2"/>
        <scheme val="minor"/>
      </rPr>
      <t>Annexe 4</t>
    </r>
    <r>
      <rPr>
        <sz val="11"/>
        <color rgb="FF000000"/>
        <rFont val="Aptos Narrow"/>
        <family val="2"/>
        <scheme val="minor"/>
      </rPr>
      <t xml:space="preserve"> du Livret des bonnes pratiques LAB/FT). </t>
    </r>
  </si>
  <si>
    <r>
      <t xml:space="preserve">L'acquéreur réside dans un pays figurant sur liste grise du GAFI (voir </t>
    </r>
    <r>
      <rPr>
        <b/>
        <sz val="11"/>
        <rFont val="Aptos Narrow"/>
        <family val="2"/>
        <scheme val="minor"/>
      </rPr>
      <t>Annexe 4</t>
    </r>
    <r>
      <rPr>
        <sz val="11"/>
        <rFont val="Aptos Narrow"/>
        <family val="2"/>
        <scheme val="minor"/>
      </rPr>
      <t xml:space="preserve"> du Livret des bonnes pratiques LAB/FT)</t>
    </r>
  </si>
  <si>
    <r>
      <t xml:space="preserve">La personne morale, son représentant légal et/ou le/les Bénéficiaire(s) Effectif(s) résident dans un pays situé en zone de guerre ou figurant sur liste  noire  du GAFI (voir </t>
    </r>
    <r>
      <rPr>
        <b/>
        <sz val="11"/>
        <color rgb="FF000000"/>
        <rFont val="Aptos Narrow"/>
        <family val="2"/>
        <scheme val="minor"/>
      </rPr>
      <t xml:space="preserve">Annexe </t>
    </r>
    <r>
      <rPr>
        <sz val="11"/>
        <color rgb="FF000000"/>
        <rFont val="Aptos Narrow"/>
        <family val="2"/>
        <scheme val="minor"/>
      </rPr>
      <t xml:space="preserve">4 du Livret des bonnes pratiques LAB/FT). </t>
    </r>
  </si>
  <si>
    <r>
      <t xml:space="preserve">Les fonds proviennent d'une banque située dans un pays de la liste grise GAFI (voir </t>
    </r>
    <r>
      <rPr>
        <b/>
        <sz val="11"/>
        <rFont val="Aptos Narrow"/>
        <family val="2"/>
        <scheme val="minor"/>
      </rPr>
      <t>Annexe 4</t>
    </r>
    <r>
      <rPr>
        <sz val="11"/>
        <rFont val="Aptos Narrow"/>
        <family val="2"/>
        <scheme val="minor"/>
      </rPr>
      <t xml:space="preserve"> du Livret des bonnes pratiques LAB/FT)</t>
    </r>
  </si>
  <si>
    <r>
      <t xml:space="preserve">Les fonds proviennent d'une banque située dans un pays situé en zone de guerre ou figurant sur la liste noire (voir </t>
    </r>
    <r>
      <rPr>
        <b/>
        <sz val="11"/>
        <color rgb="FF000000"/>
        <rFont val="Aptos Narrow"/>
        <family val="2"/>
        <scheme val="minor"/>
      </rPr>
      <t>Annexe 4</t>
    </r>
    <r>
      <rPr>
        <sz val="11"/>
        <color rgb="FF000000"/>
        <rFont val="Aptos Narrow"/>
        <family val="2"/>
        <scheme val="minor"/>
      </rPr>
      <t xml:space="preserve"> du Livret des bonnes pratiques LAB/FT)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</si>
</sst>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9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 wrapText="1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6" fillId="5" borderId="6" xfId="0" applyFont="1" applyFill="1" applyBorder="1" applyAlignment="1">
      <alignment horizontal="center" vertical="center"/>
    </xf>
    <xf numFmtId="0" fontId="3" fillId="0" borderId="0" xfId="0" applyFont="1"/>
    <xf numFmtId="0" fontId="7" fillId="0" borderId="0" xfId="0" applyFont="1"/>
    <xf numFmtId="0" fontId="6" fillId="5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0" fillId="0" borderId="4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5" fillId="0" borderId="0" xfId="0" applyFont="1" applyProtection="1">
      <protection locked="0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0" fillId="0" borderId="1" xfId="0" applyBorder="1" applyAlignment="1" applyProtection="1">
      <alignment vertical="center"/>
      <protection locked="0"/>
    </xf>
    <xf numFmtId="0" fontId="0" fillId="0" borderId="1" xfId="0" applyBorder="1" applyAlignment="1">
      <alignment horizontal="left" vertical="center"/>
    </xf>
    <xf numFmtId="0" fontId="2" fillId="6" borderId="1" xfId="0" applyFont="1" applyFill="1" applyBorder="1"/>
    <xf numFmtId="0" fontId="0" fillId="6" borderId="1" xfId="0" applyFill="1" applyBorder="1" applyAlignment="1">
      <alignment horizontal="center"/>
    </xf>
    <xf numFmtId="0" fontId="8" fillId="0" borderId="0" xfId="0" applyFont="1"/>
    <xf numFmtId="0" fontId="0" fillId="3" borderId="0" xfId="0" applyFill="1" applyProtection="1">
      <protection locked="0"/>
    </xf>
    <xf numFmtId="0" fontId="0" fillId="3" borderId="0" xfId="0" applyFill="1" applyAlignment="1" applyProtection="1">
      <alignment vertical="center"/>
      <protection locked="0"/>
    </xf>
    <xf numFmtId="0" fontId="4" fillId="3" borderId="1" xfId="0" applyFont="1" applyFill="1" applyBorder="1" applyAlignment="1" applyProtection="1">
      <alignment vertical="center" wrapText="1"/>
      <protection locked="0"/>
    </xf>
    <xf numFmtId="0" fontId="4" fillId="3" borderId="14" xfId="0" applyFont="1" applyFill="1" applyBorder="1" applyAlignment="1" applyProtection="1">
      <alignment vertical="center" wrapText="1"/>
      <protection locked="0"/>
    </xf>
    <xf numFmtId="0" fontId="10" fillId="0" borderId="15" xfId="0" applyFont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0" fillId="3" borderId="1" xfId="0" applyFill="1" applyBorder="1" applyAlignment="1" applyProtection="1">
      <alignment horizontal="left" vertical="center" wrapText="1"/>
      <protection locked="0"/>
    </xf>
    <xf numFmtId="0" fontId="9" fillId="8" borderId="8" xfId="0" applyFont="1" applyFill="1" applyBorder="1" applyAlignment="1">
      <alignment horizontal="center"/>
    </xf>
    <xf numFmtId="0" fontId="9" fillId="8" borderId="9" xfId="0" applyFont="1" applyFill="1" applyBorder="1" applyAlignment="1">
      <alignment horizontal="center"/>
    </xf>
    <xf numFmtId="0" fontId="9" fillId="8" borderId="10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12" fillId="6" borderId="0" xfId="0" applyFont="1" applyFill="1" applyAlignment="1">
      <alignment horizontal="center"/>
    </xf>
    <xf numFmtId="0" fontId="5" fillId="6" borderId="0" xfId="0" applyFont="1" applyFill="1" applyAlignment="1" applyProtection="1">
      <alignment horizontal="center"/>
      <protection locked="0"/>
    </xf>
  </cellXfs>
  <cellStyles count="1">
    <cellStyle name="Normal" xfId="0" builtinId="0"/>
  </cellStyles>
  <dxfs count="18"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theme="0"/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fgColor theme="0"/>
          <bgColor theme="1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  <dxf>
      <fill>
        <patternFill patternType="darkUp">
          <bgColor rgb="FFDBDBDB"/>
        </patternFill>
      </fill>
    </dxf>
  </dxfs>
  <tableStyles count="0" defaultTableStyle="TableStyleMedium2" defaultPivotStyle="PivotStyleLight16"/>
  <colors>
    <mruColors>
      <color rgb="FFDBDBDB"/>
      <color rgb="FF00628C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627CC-B8C5-4D13-88FE-D9E0CFADCD08}">
  <dimension ref="B2:I119"/>
  <sheetViews>
    <sheetView showGridLines="0" tabSelected="1" topLeftCell="A72" zoomScale="85" zoomScaleNormal="85" workbookViewId="0">
      <selection activeCell="G79" sqref="G79"/>
    </sheetView>
  </sheetViews>
  <sheetFormatPr baseColWidth="10" defaultColWidth="11.453125" defaultRowHeight="14.5" x14ac:dyDescent="0.35"/>
  <cols>
    <col min="2" max="2" width="53.6328125" customWidth="1"/>
    <col min="3" max="3" width="19.36328125" customWidth="1"/>
    <col min="4" max="4" width="11.54296875" style="7"/>
    <col min="5" max="5" width="50.54296875" style="21" customWidth="1"/>
    <col min="8" max="8" width="4.6328125" customWidth="1"/>
  </cols>
  <sheetData>
    <row r="2" spans="2:9" x14ac:dyDescent="0.35">
      <c r="G2" s="52" t="s">
        <v>0</v>
      </c>
    </row>
    <row r="4" spans="2:9" ht="18.5" x14ac:dyDescent="0.45">
      <c r="B4" s="90" t="s">
        <v>20</v>
      </c>
      <c r="C4" s="91"/>
      <c r="D4" s="91"/>
      <c r="E4" s="92"/>
      <c r="G4" s="53">
        <v>3</v>
      </c>
      <c r="H4" s="1"/>
      <c r="I4" s="1" t="s">
        <v>1</v>
      </c>
    </row>
    <row r="5" spans="2:9" x14ac:dyDescent="0.35">
      <c r="G5" s="54">
        <v>2</v>
      </c>
      <c r="I5" s="1" t="s">
        <v>2</v>
      </c>
    </row>
    <row r="6" spans="2:9" x14ac:dyDescent="0.35">
      <c r="G6" s="55">
        <v>1</v>
      </c>
      <c r="I6" s="1" t="s">
        <v>3</v>
      </c>
    </row>
    <row r="7" spans="2:9" ht="18.5" x14ac:dyDescent="0.45">
      <c r="B7" s="93" t="s">
        <v>23</v>
      </c>
      <c r="C7" s="94"/>
      <c r="D7" s="94"/>
      <c r="E7" s="94"/>
      <c r="G7" s="56">
        <v>0</v>
      </c>
      <c r="I7" s="1" t="s">
        <v>19</v>
      </c>
    </row>
    <row r="8" spans="2:9" x14ac:dyDescent="0.35">
      <c r="G8" s="14"/>
      <c r="I8" s="1"/>
    </row>
    <row r="9" spans="2:9" x14ac:dyDescent="0.35">
      <c r="B9" s="57" t="s">
        <v>26</v>
      </c>
      <c r="C9" s="3" t="s">
        <v>4</v>
      </c>
      <c r="D9" s="8" t="s">
        <v>5</v>
      </c>
      <c r="E9" s="8" t="s">
        <v>22</v>
      </c>
      <c r="G9" s="14"/>
      <c r="I9" s="1"/>
    </row>
    <row r="10" spans="2:9" ht="58.75" customHeight="1" x14ac:dyDescent="0.35">
      <c r="B10" s="59" t="s">
        <v>30</v>
      </c>
      <c r="C10" s="5" t="s">
        <v>6</v>
      </c>
      <c r="D10" s="40">
        <v>3</v>
      </c>
      <c r="E10" s="22" t="s">
        <v>36</v>
      </c>
      <c r="G10" s="80"/>
      <c r="H10" s="81"/>
    </row>
    <row r="11" spans="2:9" ht="52.75" customHeight="1" x14ac:dyDescent="0.35">
      <c r="B11" s="59" t="s">
        <v>44</v>
      </c>
      <c r="C11" s="5" t="s">
        <v>6</v>
      </c>
      <c r="D11" s="17">
        <v>2</v>
      </c>
      <c r="E11" s="27" t="s">
        <v>39</v>
      </c>
      <c r="G11" s="80"/>
      <c r="H11" s="81"/>
    </row>
    <row r="12" spans="2:9" ht="66.650000000000006" customHeight="1" x14ac:dyDescent="0.35">
      <c r="B12" s="58" t="s">
        <v>58</v>
      </c>
      <c r="C12" s="5" t="s">
        <v>6</v>
      </c>
      <c r="D12" s="40">
        <v>3</v>
      </c>
      <c r="E12" s="22" t="s">
        <v>41</v>
      </c>
    </row>
    <row r="13" spans="2:9" ht="61.75" customHeight="1" x14ac:dyDescent="0.35">
      <c r="B13" s="82" t="s">
        <v>82</v>
      </c>
      <c r="C13" s="5" t="s">
        <v>6</v>
      </c>
      <c r="D13" s="41">
        <v>3</v>
      </c>
      <c r="E13" s="22" t="s">
        <v>59</v>
      </c>
    </row>
    <row r="14" spans="2:9" ht="48" customHeight="1" x14ac:dyDescent="0.35">
      <c r="B14" s="59" t="s">
        <v>83</v>
      </c>
      <c r="C14" s="5" t="s">
        <v>6</v>
      </c>
      <c r="D14" s="18">
        <v>2</v>
      </c>
      <c r="E14" s="27" t="s">
        <v>39</v>
      </c>
    </row>
    <row r="15" spans="2:9" ht="49.25" customHeight="1" x14ac:dyDescent="0.35">
      <c r="B15" s="82" t="s">
        <v>75</v>
      </c>
      <c r="C15" s="5" t="s">
        <v>6</v>
      </c>
      <c r="D15" s="18">
        <v>2</v>
      </c>
      <c r="E15" s="27" t="s">
        <v>39</v>
      </c>
    </row>
    <row r="16" spans="2:9" ht="75.650000000000006" customHeight="1" x14ac:dyDescent="0.35">
      <c r="B16" s="59" t="s">
        <v>57</v>
      </c>
      <c r="C16" s="5" t="s">
        <v>6</v>
      </c>
      <c r="D16" s="42">
        <v>1</v>
      </c>
      <c r="E16" s="22"/>
    </row>
    <row r="17" spans="2:6" ht="35.4" customHeight="1" x14ac:dyDescent="0.35">
      <c r="B17" s="59" t="s">
        <v>56</v>
      </c>
      <c r="C17" s="5" t="s">
        <v>6</v>
      </c>
      <c r="D17" s="43">
        <v>1</v>
      </c>
      <c r="E17" s="4"/>
    </row>
    <row r="18" spans="2:6" ht="43.5" customHeight="1" x14ac:dyDescent="0.35">
      <c r="B18" s="59" t="s">
        <v>55</v>
      </c>
      <c r="C18" s="5" t="s">
        <v>6</v>
      </c>
      <c r="D18" s="43">
        <v>1</v>
      </c>
      <c r="E18" s="4"/>
    </row>
    <row r="19" spans="2:6" ht="36" customHeight="1" x14ac:dyDescent="0.35">
      <c r="B19" s="59" t="s">
        <v>7</v>
      </c>
      <c r="C19" s="5" t="s">
        <v>6</v>
      </c>
      <c r="D19" s="43">
        <v>1</v>
      </c>
      <c r="E19" s="4"/>
    </row>
    <row r="20" spans="2:6" s="71" customFormat="1" ht="40.75" customHeight="1" x14ac:dyDescent="0.35">
      <c r="B20" s="82" t="s">
        <v>79</v>
      </c>
      <c r="C20" s="70" t="s">
        <v>11</v>
      </c>
      <c r="D20" s="73">
        <v>2</v>
      </c>
      <c r="E20" s="75"/>
      <c r="F20" s="74"/>
    </row>
    <row r="21" spans="2:6" x14ac:dyDescent="0.35">
      <c r="B21" s="60" t="s">
        <v>31</v>
      </c>
      <c r="C21" s="9"/>
      <c r="D21" s="10">
        <f>SUM(D10:D20)</f>
        <v>21</v>
      </c>
    </row>
    <row r="22" spans="2:6" x14ac:dyDescent="0.35">
      <c r="B22" s="61"/>
      <c r="D22"/>
    </row>
    <row r="23" spans="2:6" x14ac:dyDescent="0.35">
      <c r="B23" s="57" t="s">
        <v>27</v>
      </c>
      <c r="C23" s="3" t="s">
        <v>4</v>
      </c>
      <c r="D23" s="8" t="s">
        <v>5</v>
      </c>
      <c r="E23" s="8" t="s">
        <v>22</v>
      </c>
    </row>
    <row r="24" spans="2:6" ht="52.75" customHeight="1" x14ac:dyDescent="0.35">
      <c r="B24" s="59" t="s">
        <v>54</v>
      </c>
      <c r="C24" s="5" t="s">
        <v>6</v>
      </c>
      <c r="D24" s="17">
        <v>2</v>
      </c>
      <c r="E24" s="27" t="s">
        <v>39</v>
      </c>
    </row>
    <row r="25" spans="2:6" ht="50.4" customHeight="1" x14ac:dyDescent="0.35">
      <c r="B25" s="59" t="s">
        <v>44</v>
      </c>
      <c r="C25" s="5" t="s">
        <v>6</v>
      </c>
      <c r="D25" s="17">
        <v>2</v>
      </c>
      <c r="E25" s="27" t="s">
        <v>39</v>
      </c>
    </row>
    <row r="26" spans="2:6" ht="40.25" customHeight="1" x14ac:dyDescent="0.35">
      <c r="B26" s="62" t="s">
        <v>53</v>
      </c>
      <c r="C26" s="34" t="s">
        <v>6</v>
      </c>
      <c r="D26" s="44">
        <v>1</v>
      </c>
      <c r="E26" s="59"/>
    </row>
    <row r="27" spans="2:6" ht="73.25" customHeight="1" x14ac:dyDescent="0.35">
      <c r="B27" s="58" t="s">
        <v>52</v>
      </c>
      <c r="C27" s="5" t="s">
        <v>6</v>
      </c>
      <c r="D27" s="40">
        <v>3</v>
      </c>
      <c r="E27" s="22" t="s">
        <v>41</v>
      </c>
    </row>
    <row r="28" spans="2:6" ht="70.75" customHeight="1" x14ac:dyDescent="0.35">
      <c r="B28" s="83" t="s">
        <v>84</v>
      </c>
      <c r="C28" s="34" t="s">
        <v>6</v>
      </c>
      <c r="D28" s="50">
        <v>3</v>
      </c>
      <c r="E28" s="22" t="s">
        <v>41</v>
      </c>
    </row>
    <row r="29" spans="2:6" ht="69.650000000000006" customHeight="1" x14ac:dyDescent="0.35">
      <c r="B29" s="64" t="s">
        <v>85</v>
      </c>
      <c r="C29" s="30" t="s">
        <v>6</v>
      </c>
      <c r="D29" s="47">
        <v>2</v>
      </c>
      <c r="E29" s="27" t="s">
        <v>39</v>
      </c>
    </row>
    <row r="30" spans="2:6" ht="58.75" customHeight="1" x14ac:dyDescent="0.35">
      <c r="B30" s="82" t="s">
        <v>76</v>
      </c>
      <c r="C30" s="48" t="s">
        <v>6</v>
      </c>
      <c r="D30" s="42">
        <v>1</v>
      </c>
      <c r="E30" s="49"/>
    </row>
    <row r="31" spans="2:6" ht="45.65" customHeight="1" x14ac:dyDescent="0.35">
      <c r="B31" s="84" t="s">
        <v>51</v>
      </c>
      <c r="C31" s="36" t="s">
        <v>6</v>
      </c>
      <c r="D31" s="45">
        <v>1</v>
      </c>
      <c r="E31" s="39"/>
    </row>
    <row r="32" spans="2:6" ht="81.75" customHeight="1" x14ac:dyDescent="0.35">
      <c r="B32" s="63" t="s">
        <v>50</v>
      </c>
      <c r="C32" s="30" t="s">
        <v>6</v>
      </c>
      <c r="D32" s="46">
        <v>1</v>
      </c>
      <c r="E32" s="32"/>
    </row>
    <row r="33" spans="2:5" x14ac:dyDescent="0.35">
      <c r="B33" s="65" t="s">
        <v>31</v>
      </c>
      <c r="D33" s="10">
        <f>SUM(D24:D32)</f>
        <v>16</v>
      </c>
    </row>
    <row r="34" spans="2:5" x14ac:dyDescent="0.35">
      <c r="B34" s="65"/>
      <c r="D34" s="10"/>
    </row>
    <row r="35" spans="2:5" ht="18.5" x14ac:dyDescent="0.45">
      <c r="B35" s="93" t="s">
        <v>24</v>
      </c>
      <c r="C35" s="94"/>
      <c r="D35" s="94"/>
      <c r="E35" s="94"/>
    </row>
    <row r="36" spans="2:5" x14ac:dyDescent="0.35">
      <c r="B36" s="65"/>
      <c r="D36" s="10"/>
    </row>
    <row r="37" spans="2:5" x14ac:dyDescent="0.35">
      <c r="B37" s="57" t="s">
        <v>25</v>
      </c>
      <c r="C37" s="3" t="s">
        <v>4</v>
      </c>
      <c r="D37" s="8" t="s">
        <v>5</v>
      </c>
      <c r="E37" s="8" t="s">
        <v>22</v>
      </c>
    </row>
    <row r="38" spans="2:5" ht="76.25" customHeight="1" x14ac:dyDescent="0.35">
      <c r="B38" s="59" t="s">
        <v>32</v>
      </c>
      <c r="C38" s="5" t="s">
        <v>6</v>
      </c>
      <c r="D38" s="40">
        <v>3</v>
      </c>
      <c r="E38" s="22" t="s">
        <v>41</v>
      </c>
    </row>
    <row r="39" spans="2:5" ht="52.25" customHeight="1" x14ac:dyDescent="0.35">
      <c r="B39" s="59" t="s">
        <v>44</v>
      </c>
      <c r="C39" s="5" t="s">
        <v>6</v>
      </c>
      <c r="D39" s="17">
        <v>2</v>
      </c>
      <c r="E39" s="27" t="s">
        <v>39</v>
      </c>
    </row>
    <row r="40" spans="2:5" ht="66.650000000000006" customHeight="1" x14ac:dyDescent="0.35">
      <c r="B40" s="58" t="s">
        <v>45</v>
      </c>
      <c r="C40" s="5" t="s">
        <v>6</v>
      </c>
      <c r="D40" s="40">
        <v>3</v>
      </c>
      <c r="E40" s="22" t="s">
        <v>41</v>
      </c>
    </row>
    <row r="41" spans="2:5" ht="67.25" customHeight="1" x14ac:dyDescent="0.35">
      <c r="B41" s="82" t="s">
        <v>86</v>
      </c>
      <c r="C41" s="5" t="s">
        <v>6</v>
      </c>
      <c r="D41" s="41">
        <v>3</v>
      </c>
      <c r="E41" s="22" t="s">
        <v>41</v>
      </c>
    </row>
    <row r="42" spans="2:5" ht="48" customHeight="1" x14ac:dyDescent="0.35">
      <c r="B42" s="58" t="s">
        <v>87</v>
      </c>
      <c r="C42" s="5" t="s">
        <v>6</v>
      </c>
      <c r="D42" s="18">
        <v>2</v>
      </c>
      <c r="E42" s="27" t="s">
        <v>39</v>
      </c>
    </row>
    <row r="43" spans="2:5" ht="46.25" customHeight="1" x14ac:dyDescent="0.35">
      <c r="B43" s="82" t="s">
        <v>77</v>
      </c>
      <c r="C43" s="5" t="s">
        <v>6</v>
      </c>
      <c r="D43" s="42">
        <v>1</v>
      </c>
      <c r="E43" s="22"/>
    </row>
    <row r="44" spans="2:5" ht="72" customHeight="1" x14ac:dyDescent="0.35">
      <c r="B44" s="59" t="s">
        <v>46</v>
      </c>
      <c r="C44" s="5" t="s">
        <v>6</v>
      </c>
      <c r="D44" s="42">
        <v>1</v>
      </c>
      <c r="E44" s="22"/>
    </row>
    <row r="45" spans="2:5" ht="35.4" customHeight="1" x14ac:dyDescent="0.35">
      <c r="B45" s="59" t="s">
        <v>47</v>
      </c>
      <c r="C45" s="5" t="s">
        <v>6</v>
      </c>
      <c r="D45" s="43">
        <v>1</v>
      </c>
      <c r="E45" s="4"/>
    </row>
    <row r="46" spans="2:5" ht="33.65" customHeight="1" x14ac:dyDescent="0.35">
      <c r="B46" s="59" t="s">
        <v>48</v>
      </c>
      <c r="C46" s="5" t="s">
        <v>6</v>
      </c>
      <c r="D46" s="43">
        <v>1</v>
      </c>
      <c r="E46" s="4"/>
    </row>
    <row r="47" spans="2:5" ht="36.65" customHeight="1" x14ac:dyDescent="0.35">
      <c r="B47" s="59" t="s">
        <v>7</v>
      </c>
      <c r="C47" s="5" t="s">
        <v>6</v>
      </c>
      <c r="D47" s="43">
        <v>1</v>
      </c>
      <c r="E47" s="4"/>
    </row>
    <row r="48" spans="2:5" ht="37.25" customHeight="1" x14ac:dyDescent="0.35">
      <c r="B48" s="82" t="s">
        <v>80</v>
      </c>
      <c r="C48" s="70" t="s">
        <v>11</v>
      </c>
      <c r="D48" s="73">
        <v>2</v>
      </c>
      <c r="E48" s="75"/>
    </row>
    <row r="49" spans="2:5" ht="23.4" customHeight="1" x14ac:dyDescent="0.35">
      <c r="B49" s="68" t="s">
        <v>49</v>
      </c>
      <c r="C49" s="5" t="s">
        <v>6</v>
      </c>
      <c r="D49" s="43">
        <v>1</v>
      </c>
      <c r="E49" s="4"/>
    </row>
    <row r="50" spans="2:5" x14ac:dyDescent="0.35">
      <c r="B50" s="60" t="s">
        <v>31</v>
      </c>
      <c r="C50" s="9"/>
      <c r="D50" s="10">
        <f>SUM(D38:D49)</f>
        <v>21</v>
      </c>
    </row>
    <row r="52" spans="2:5" x14ac:dyDescent="0.35">
      <c r="B52" s="57" t="s">
        <v>28</v>
      </c>
      <c r="C52" s="3" t="s">
        <v>4</v>
      </c>
      <c r="D52" s="8" t="s">
        <v>5</v>
      </c>
      <c r="E52" s="8" t="s">
        <v>22</v>
      </c>
    </row>
    <row r="53" spans="2:5" ht="51.65" customHeight="1" x14ac:dyDescent="0.35">
      <c r="B53" s="59" t="s">
        <v>54</v>
      </c>
      <c r="C53" s="5" t="s">
        <v>6</v>
      </c>
      <c r="D53" s="17">
        <v>2</v>
      </c>
      <c r="E53" s="27" t="s">
        <v>39</v>
      </c>
    </row>
    <row r="54" spans="2:5" ht="61.25" customHeight="1" x14ac:dyDescent="0.35">
      <c r="B54" s="59" t="s">
        <v>44</v>
      </c>
      <c r="C54" s="5" t="s">
        <v>6</v>
      </c>
      <c r="D54" s="17">
        <v>2</v>
      </c>
      <c r="E54" s="27" t="s">
        <v>39</v>
      </c>
    </row>
    <row r="55" spans="2:5" ht="35.4" customHeight="1" x14ac:dyDescent="0.35">
      <c r="B55" s="62" t="s">
        <v>53</v>
      </c>
      <c r="C55" s="34" t="s">
        <v>6</v>
      </c>
      <c r="D55" s="44">
        <v>1</v>
      </c>
      <c r="E55" s="59"/>
    </row>
    <row r="56" spans="2:5" ht="72.650000000000006" customHeight="1" x14ac:dyDescent="0.35">
      <c r="B56" s="58" t="s">
        <v>52</v>
      </c>
      <c r="C56" s="5" t="s">
        <v>6</v>
      </c>
      <c r="D56" s="40">
        <v>3</v>
      </c>
      <c r="E56" s="22" t="s">
        <v>41</v>
      </c>
    </row>
    <row r="57" spans="2:5" ht="75" customHeight="1" x14ac:dyDescent="0.35">
      <c r="B57" s="83" t="s">
        <v>88</v>
      </c>
      <c r="C57" s="34" t="s">
        <v>6</v>
      </c>
      <c r="D57" s="50">
        <v>3</v>
      </c>
      <c r="E57" s="22" t="s">
        <v>41</v>
      </c>
    </row>
    <row r="58" spans="2:5" ht="68.400000000000006" customHeight="1" x14ac:dyDescent="0.35">
      <c r="B58" s="85" t="s">
        <v>85</v>
      </c>
      <c r="C58" s="30" t="s">
        <v>6</v>
      </c>
      <c r="D58" s="47">
        <v>2</v>
      </c>
      <c r="E58" s="27" t="s">
        <v>39</v>
      </c>
    </row>
    <row r="59" spans="2:5" ht="58.25" customHeight="1" x14ac:dyDescent="0.35">
      <c r="B59" s="82" t="s">
        <v>76</v>
      </c>
      <c r="C59" s="48" t="s">
        <v>6</v>
      </c>
      <c r="D59" s="42">
        <v>1</v>
      </c>
      <c r="E59" s="49"/>
    </row>
    <row r="60" spans="2:5" ht="52.25" customHeight="1" x14ac:dyDescent="0.35">
      <c r="B60" s="84" t="s">
        <v>51</v>
      </c>
      <c r="C60" s="36" t="s">
        <v>6</v>
      </c>
      <c r="D60" s="45">
        <v>1</v>
      </c>
      <c r="E60" s="39"/>
    </row>
    <row r="61" spans="2:5" ht="79.75" customHeight="1" x14ac:dyDescent="0.35">
      <c r="B61" s="63" t="s">
        <v>50</v>
      </c>
      <c r="C61" s="30" t="s">
        <v>6</v>
      </c>
      <c r="D61" s="46">
        <v>1</v>
      </c>
      <c r="E61" s="32"/>
    </row>
    <row r="62" spans="2:5" x14ac:dyDescent="0.35">
      <c r="B62" s="65" t="s">
        <v>31</v>
      </c>
      <c r="D62" s="10">
        <f>SUM(D53:D61)</f>
        <v>16</v>
      </c>
    </row>
    <row r="63" spans="2:5" x14ac:dyDescent="0.35">
      <c r="B63" s="65"/>
      <c r="D63" s="10"/>
    </row>
    <row r="64" spans="2:5" x14ac:dyDescent="0.35">
      <c r="B64" s="61"/>
      <c r="D64"/>
    </row>
    <row r="65" spans="2:6" ht="18.5" x14ac:dyDescent="0.45">
      <c r="B65" s="95" t="s">
        <v>29</v>
      </c>
      <c r="C65" s="95"/>
      <c r="D65" s="95"/>
      <c r="E65" s="95"/>
      <c r="F65" s="72"/>
    </row>
    <row r="66" spans="2:6" x14ac:dyDescent="0.35">
      <c r="B66" s="61"/>
      <c r="D66"/>
    </row>
    <row r="67" spans="2:6" x14ac:dyDescent="0.35">
      <c r="B67" s="57" t="s">
        <v>12</v>
      </c>
      <c r="C67" s="3" t="s">
        <v>4</v>
      </c>
      <c r="D67" s="8" t="s">
        <v>5</v>
      </c>
      <c r="E67" s="8" t="s">
        <v>22</v>
      </c>
    </row>
    <row r="68" spans="2:6" ht="52.25" customHeight="1" x14ac:dyDescent="0.35">
      <c r="B68" s="62" t="s">
        <v>60</v>
      </c>
      <c r="C68" s="28" t="s">
        <v>6</v>
      </c>
      <c r="D68" s="29">
        <v>2</v>
      </c>
      <c r="E68" s="27" t="s">
        <v>39</v>
      </c>
    </row>
    <row r="69" spans="2:6" ht="36.75" customHeight="1" x14ac:dyDescent="0.35">
      <c r="B69" s="64" t="s">
        <v>61</v>
      </c>
      <c r="C69" s="35" t="s">
        <v>6</v>
      </c>
      <c r="D69" s="45">
        <v>1</v>
      </c>
      <c r="E69" s="37"/>
    </row>
    <row r="70" spans="2:6" ht="58.5" customHeight="1" x14ac:dyDescent="0.35">
      <c r="B70" s="63" t="s">
        <v>62</v>
      </c>
      <c r="C70" s="26" t="s">
        <v>6</v>
      </c>
      <c r="D70" s="46">
        <v>1</v>
      </c>
      <c r="E70" s="27"/>
    </row>
    <row r="71" spans="2:6" ht="34.25" customHeight="1" x14ac:dyDescent="0.35">
      <c r="B71" s="66" t="s">
        <v>63</v>
      </c>
      <c r="C71" s="31" t="s">
        <v>6</v>
      </c>
      <c r="D71" s="42">
        <v>1</v>
      </c>
      <c r="E71" s="38"/>
    </row>
    <row r="72" spans="2:6" ht="54" customHeight="1" x14ac:dyDescent="0.35">
      <c r="B72" s="59" t="s">
        <v>64</v>
      </c>
      <c r="C72" s="5" t="s">
        <v>6</v>
      </c>
      <c r="D72" s="17">
        <v>2</v>
      </c>
      <c r="E72" s="27" t="s">
        <v>40</v>
      </c>
    </row>
    <row r="73" spans="2:6" ht="35.4" customHeight="1" x14ac:dyDescent="0.35">
      <c r="B73" s="59" t="s">
        <v>65</v>
      </c>
      <c r="C73" s="5" t="s">
        <v>6</v>
      </c>
      <c r="D73" s="43">
        <v>1</v>
      </c>
      <c r="E73" s="4"/>
    </row>
    <row r="74" spans="2:6" ht="40.25" customHeight="1" x14ac:dyDescent="0.35">
      <c r="B74" s="59" t="s">
        <v>66</v>
      </c>
      <c r="C74" s="5" t="s">
        <v>6</v>
      </c>
      <c r="D74" s="43">
        <v>1</v>
      </c>
      <c r="E74" s="4"/>
    </row>
    <row r="75" spans="2:6" x14ac:dyDescent="0.35">
      <c r="B75" s="65" t="s">
        <v>31</v>
      </c>
      <c r="C75" s="10"/>
      <c r="D75" s="10">
        <f>SUM(D68:D74)</f>
        <v>9</v>
      </c>
      <c r="E75" s="25"/>
    </row>
    <row r="76" spans="2:6" x14ac:dyDescent="0.35">
      <c r="B76" s="61"/>
      <c r="D76"/>
    </row>
    <row r="77" spans="2:6" x14ac:dyDescent="0.35">
      <c r="B77" s="57" t="s">
        <v>38</v>
      </c>
      <c r="C77" s="8" t="s">
        <v>4</v>
      </c>
      <c r="D77" s="8" t="s">
        <v>5</v>
      </c>
      <c r="E77" s="8" t="s">
        <v>22</v>
      </c>
    </row>
    <row r="78" spans="2:6" ht="54.65" customHeight="1" x14ac:dyDescent="0.35">
      <c r="B78" s="86" t="s">
        <v>78</v>
      </c>
      <c r="C78" s="6" t="s">
        <v>6</v>
      </c>
      <c r="D78" s="17">
        <v>2</v>
      </c>
      <c r="E78" s="27" t="s">
        <v>39</v>
      </c>
    </row>
    <row r="79" spans="2:6" ht="79.75" customHeight="1" x14ac:dyDescent="0.35">
      <c r="B79" s="69" t="s">
        <v>21</v>
      </c>
      <c r="C79" s="6" t="s">
        <v>6</v>
      </c>
      <c r="D79" s="17">
        <v>2</v>
      </c>
      <c r="E79" s="27"/>
    </row>
    <row r="80" spans="2:6" x14ac:dyDescent="0.35">
      <c r="B80" s="60" t="s">
        <v>31</v>
      </c>
      <c r="D80" s="10">
        <f>SUM(D78:D79)</f>
        <v>4</v>
      </c>
    </row>
    <row r="81" spans="2:5" x14ac:dyDescent="0.35">
      <c r="B81" s="67"/>
    </row>
    <row r="82" spans="2:5" x14ac:dyDescent="0.35">
      <c r="B82" s="3" t="s">
        <v>8</v>
      </c>
      <c r="C82" s="3" t="s">
        <v>4</v>
      </c>
      <c r="D82" s="8" t="s">
        <v>5</v>
      </c>
      <c r="E82" s="8" t="s">
        <v>22</v>
      </c>
    </row>
    <row r="83" spans="2:5" ht="60" customHeight="1" x14ac:dyDescent="0.35">
      <c r="B83" s="58" t="s">
        <v>81</v>
      </c>
      <c r="C83" s="6" t="s">
        <v>6</v>
      </c>
      <c r="D83" s="40">
        <v>3</v>
      </c>
      <c r="E83" s="22" t="s">
        <v>41</v>
      </c>
    </row>
    <row r="84" spans="2:5" ht="39.75" customHeight="1" x14ac:dyDescent="0.35">
      <c r="B84" s="59" t="s">
        <v>42</v>
      </c>
      <c r="C84" s="6" t="s">
        <v>6</v>
      </c>
      <c r="D84" s="43">
        <v>1</v>
      </c>
      <c r="E84" s="22"/>
    </row>
    <row r="85" spans="2:5" ht="49.75" customHeight="1" x14ac:dyDescent="0.35">
      <c r="B85" s="59" t="s">
        <v>43</v>
      </c>
      <c r="C85" s="6" t="s">
        <v>6</v>
      </c>
      <c r="D85" s="17">
        <v>2</v>
      </c>
      <c r="E85" s="27" t="s">
        <v>39</v>
      </c>
    </row>
    <row r="86" spans="2:5" ht="60" customHeight="1" x14ac:dyDescent="0.35">
      <c r="B86" s="82" t="s">
        <v>90</v>
      </c>
      <c r="C86" s="6" t="s">
        <v>6</v>
      </c>
      <c r="D86" s="40">
        <v>3</v>
      </c>
      <c r="E86" s="22" t="s">
        <v>41</v>
      </c>
    </row>
    <row r="87" spans="2:5" ht="56.4" customHeight="1" x14ac:dyDescent="0.35">
      <c r="B87" s="59" t="s">
        <v>89</v>
      </c>
      <c r="C87" s="6" t="s">
        <v>6</v>
      </c>
      <c r="D87" s="17">
        <v>2</v>
      </c>
      <c r="E87" s="27" t="s">
        <v>39</v>
      </c>
    </row>
    <row r="88" spans="2:5" ht="39" customHeight="1" x14ac:dyDescent="0.35">
      <c r="B88" s="59" t="s">
        <v>67</v>
      </c>
      <c r="C88" s="6" t="s">
        <v>6</v>
      </c>
      <c r="D88" s="43">
        <v>1</v>
      </c>
      <c r="E88" s="22"/>
    </row>
    <row r="89" spans="2:5" ht="52.5" customHeight="1" x14ac:dyDescent="0.35">
      <c r="B89" s="59" t="s">
        <v>68</v>
      </c>
      <c r="C89" s="6" t="s">
        <v>6</v>
      </c>
      <c r="D89" s="43">
        <v>1</v>
      </c>
      <c r="E89" s="4"/>
    </row>
    <row r="90" spans="2:5" ht="38.25" customHeight="1" x14ac:dyDescent="0.35">
      <c r="B90" s="62" t="s">
        <v>69</v>
      </c>
      <c r="C90" s="28" t="s">
        <v>6</v>
      </c>
      <c r="D90" s="44">
        <v>1</v>
      </c>
      <c r="E90" s="33"/>
    </row>
    <row r="91" spans="2:5" ht="58.5" customHeight="1" x14ac:dyDescent="0.35">
      <c r="B91" s="63" t="s">
        <v>70</v>
      </c>
      <c r="C91" s="26" t="s">
        <v>6</v>
      </c>
      <c r="D91" s="46">
        <v>1</v>
      </c>
      <c r="E91" s="32"/>
    </row>
    <row r="92" spans="2:5" x14ac:dyDescent="0.35">
      <c r="B92" s="10" t="s">
        <v>31</v>
      </c>
      <c r="D92" s="10">
        <f>SUM(D83:D91)</f>
        <v>15</v>
      </c>
    </row>
    <row r="93" spans="2:5" x14ac:dyDescent="0.35">
      <c r="B93" s="10"/>
      <c r="D93" s="10"/>
    </row>
    <row r="94" spans="2:5" x14ac:dyDescent="0.35">
      <c r="B94" s="3" t="s">
        <v>9</v>
      </c>
      <c r="C94" s="8" t="s">
        <v>4</v>
      </c>
      <c r="D94" s="8" t="s">
        <v>5</v>
      </c>
      <c r="E94" s="8" t="s">
        <v>22</v>
      </c>
    </row>
    <row r="95" spans="2:5" ht="51" customHeight="1" x14ac:dyDescent="0.35">
      <c r="B95" s="19" t="s">
        <v>71</v>
      </c>
      <c r="C95" s="6" t="s">
        <v>6</v>
      </c>
      <c r="D95" s="17">
        <v>2</v>
      </c>
      <c r="E95" s="27" t="s">
        <v>39</v>
      </c>
    </row>
    <row r="96" spans="2:5" ht="52.75" customHeight="1" x14ac:dyDescent="0.35">
      <c r="B96" s="19" t="s">
        <v>72</v>
      </c>
      <c r="C96" s="6" t="s">
        <v>6</v>
      </c>
      <c r="D96" s="17">
        <v>2</v>
      </c>
      <c r="E96" s="27" t="s">
        <v>39</v>
      </c>
    </row>
    <row r="97" spans="2:5" ht="21" customHeight="1" x14ac:dyDescent="0.35">
      <c r="B97" s="19" t="s">
        <v>73</v>
      </c>
      <c r="C97" s="24" t="s">
        <v>6</v>
      </c>
      <c r="D97" s="43">
        <v>1</v>
      </c>
      <c r="E97" s="4"/>
    </row>
    <row r="98" spans="2:5" ht="20.399999999999999" customHeight="1" x14ac:dyDescent="0.35">
      <c r="B98" s="76" t="s">
        <v>74</v>
      </c>
      <c r="C98" s="24" t="s">
        <v>6</v>
      </c>
      <c r="D98" s="43">
        <v>1</v>
      </c>
      <c r="E98" s="4"/>
    </row>
    <row r="99" spans="2:5" x14ac:dyDescent="0.35">
      <c r="B99" s="20" t="s">
        <v>31</v>
      </c>
      <c r="D99" s="10">
        <f>SUM(D95:D98)</f>
        <v>6</v>
      </c>
    </row>
    <row r="101" spans="2:5" x14ac:dyDescent="0.35">
      <c r="B101" s="14" t="s">
        <v>10</v>
      </c>
      <c r="D101" s="10">
        <f>D21+D33+D80+D92+D99+D75+D62+D50</f>
        <v>108</v>
      </c>
    </row>
    <row r="103" spans="2:5" ht="15" thickBot="1" x14ac:dyDescent="0.4">
      <c r="B103" s="1"/>
      <c r="D103" s="10"/>
      <c r="E103" s="23"/>
    </row>
    <row r="104" spans="2:5" ht="21.5" thickBot="1" x14ac:dyDescent="0.55000000000000004">
      <c r="B104" s="87" t="s">
        <v>13</v>
      </c>
      <c r="C104" s="88"/>
      <c r="D104" s="88"/>
      <c r="E104" s="89"/>
    </row>
    <row r="105" spans="2:5" x14ac:dyDescent="0.35">
      <c r="D105"/>
      <c r="E105"/>
    </row>
    <row r="106" spans="2:5" x14ac:dyDescent="0.35">
      <c r="B106" s="3" t="s">
        <v>14</v>
      </c>
      <c r="C106" s="3" t="s">
        <v>33</v>
      </c>
      <c r="D106"/>
      <c r="E106"/>
    </row>
    <row r="107" spans="2:5" x14ac:dyDescent="0.35">
      <c r="B107" s="77" t="s">
        <v>34</v>
      </c>
      <c r="C107" s="78"/>
      <c r="D107"/>
      <c r="E107"/>
    </row>
    <row r="108" spans="2:5" x14ac:dyDescent="0.35">
      <c r="B108" s="16" t="s">
        <v>26</v>
      </c>
      <c r="C108" s="15">
        <f>SUM(D21)</f>
        <v>21</v>
      </c>
      <c r="D108"/>
      <c r="E108"/>
    </row>
    <row r="109" spans="2:5" x14ac:dyDescent="0.35">
      <c r="B109" s="12" t="s">
        <v>27</v>
      </c>
      <c r="C109" s="11">
        <f>SUM(D33)</f>
        <v>16</v>
      </c>
      <c r="D109"/>
      <c r="E109"/>
    </row>
    <row r="110" spans="2:5" x14ac:dyDescent="0.35">
      <c r="B110" s="77" t="s">
        <v>35</v>
      </c>
      <c r="C110" s="78"/>
      <c r="D110"/>
      <c r="E110"/>
    </row>
    <row r="111" spans="2:5" x14ac:dyDescent="0.35">
      <c r="B111" s="16" t="s">
        <v>25</v>
      </c>
      <c r="C111" s="11">
        <f>SUM(D50)</f>
        <v>21</v>
      </c>
      <c r="D111"/>
      <c r="E111"/>
    </row>
    <row r="112" spans="2:5" x14ac:dyDescent="0.35">
      <c r="B112" s="12" t="s">
        <v>28</v>
      </c>
      <c r="C112" s="11">
        <f>SUM(D62)</f>
        <v>16</v>
      </c>
      <c r="D112"/>
      <c r="E112"/>
    </row>
    <row r="113" spans="2:5" x14ac:dyDescent="0.35">
      <c r="B113" s="77" t="s">
        <v>37</v>
      </c>
      <c r="C113" s="78"/>
      <c r="D113"/>
      <c r="E113"/>
    </row>
    <row r="114" spans="2:5" x14ac:dyDescent="0.35">
      <c r="B114" s="13" t="s">
        <v>15</v>
      </c>
      <c r="C114" s="11">
        <f>SUM(D75)</f>
        <v>9</v>
      </c>
      <c r="D114"/>
      <c r="E114"/>
    </row>
    <row r="115" spans="2:5" x14ac:dyDescent="0.35">
      <c r="B115" s="13" t="s">
        <v>38</v>
      </c>
      <c r="C115" s="11">
        <f>SUM(D80)</f>
        <v>4</v>
      </c>
      <c r="D115"/>
      <c r="E115"/>
    </row>
    <row r="116" spans="2:5" x14ac:dyDescent="0.35">
      <c r="B116" s="12" t="s">
        <v>16</v>
      </c>
      <c r="C116" s="11">
        <f>SUM(D92)</f>
        <v>15</v>
      </c>
      <c r="D116"/>
      <c r="E116"/>
    </row>
    <row r="117" spans="2:5" x14ac:dyDescent="0.35">
      <c r="B117" s="12" t="s">
        <v>17</v>
      </c>
      <c r="C117" s="11">
        <f>SUM(D99)</f>
        <v>6</v>
      </c>
      <c r="D117"/>
      <c r="E117"/>
    </row>
    <row r="118" spans="2:5" x14ac:dyDescent="0.35">
      <c r="B118" s="14"/>
      <c r="C118" s="2"/>
      <c r="D118" s="2"/>
      <c r="E118"/>
    </row>
    <row r="119" spans="2:5" x14ac:dyDescent="0.35">
      <c r="B119" s="14" t="s">
        <v>18</v>
      </c>
      <c r="C119" s="79">
        <v>106</v>
      </c>
      <c r="D119" s="1"/>
      <c r="E119" s="51"/>
    </row>
  </sheetData>
  <sheetProtection selectLockedCells="1" selectUnlockedCells="1"/>
  <mergeCells count="5">
    <mergeCell ref="B104:E104"/>
    <mergeCell ref="B4:E4"/>
    <mergeCell ref="B7:E7"/>
    <mergeCell ref="B35:E35"/>
    <mergeCell ref="B65:E65"/>
  </mergeCells>
  <conditionalFormatting sqref="B13">
    <cfRule type="expression" dxfId="17" priority="8">
      <formula>$C$15="Non"</formula>
    </cfRule>
  </conditionalFormatting>
  <conditionalFormatting sqref="B15">
    <cfRule type="expression" dxfId="16" priority="7">
      <formula>$C$15="Non"</formula>
    </cfRule>
  </conditionalFormatting>
  <conditionalFormatting sqref="B28">
    <cfRule type="expression" dxfId="15" priority="6">
      <formula>$C$30="Non"</formula>
    </cfRule>
  </conditionalFormatting>
  <conditionalFormatting sqref="B30">
    <cfRule type="expression" dxfId="14" priority="5">
      <formula>$C$30="Non"</formula>
    </cfRule>
  </conditionalFormatting>
  <conditionalFormatting sqref="B41">
    <cfRule type="expression" dxfId="13" priority="4">
      <formula>$C$45="Non"</formula>
    </cfRule>
  </conditionalFormatting>
  <conditionalFormatting sqref="B43">
    <cfRule type="expression" dxfId="12" priority="3">
      <formula>$C$45="Non"</formula>
    </cfRule>
  </conditionalFormatting>
  <conditionalFormatting sqref="B57">
    <cfRule type="expression" dxfId="11" priority="2">
      <formula>$C$61="Non"</formula>
    </cfRule>
  </conditionalFormatting>
  <conditionalFormatting sqref="B59">
    <cfRule type="expression" dxfId="10" priority="1">
      <formula>$C$61="Non"</formula>
    </cfRule>
  </conditionalFormatting>
  <conditionalFormatting sqref="C119">
    <cfRule type="cellIs" dxfId="9" priority="17" operator="between">
      <formula>36</formula>
      <formula>70</formula>
    </cfRule>
    <cfRule type="cellIs" dxfId="8" priority="18" operator="between">
      <formula>0</formula>
      <formula>35</formula>
    </cfRule>
  </conditionalFormatting>
  <conditionalFormatting sqref="D20">
    <cfRule type="cellIs" dxfId="7" priority="13" operator="between">
      <formula>3</formula>
      <formula>3.1</formula>
    </cfRule>
    <cfRule type="cellIs" dxfId="6" priority="14" operator="between">
      <formula>2</formula>
      <formula>2.9</formula>
    </cfRule>
    <cfRule type="cellIs" dxfId="5" priority="15" operator="between">
      <formula>0.6</formula>
      <formula>1.9</formula>
    </cfRule>
    <cfRule type="cellIs" dxfId="4" priority="16" operator="between">
      <formula>0</formula>
      <formula>0.5</formula>
    </cfRule>
  </conditionalFormatting>
  <conditionalFormatting sqref="D48">
    <cfRule type="cellIs" dxfId="3" priority="9" operator="between">
      <formula>3</formula>
      <formula>3.1</formula>
    </cfRule>
    <cfRule type="cellIs" dxfId="2" priority="10" operator="between">
      <formula>2</formula>
      <formula>2.9</formula>
    </cfRule>
    <cfRule type="cellIs" dxfId="1" priority="11" operator="between">
      <formula>0.6</formula>
      <formula>1.9</formula>
    </cfRule>
    <cfRule type="cellIs" dxfId="0" priority="12" operator="between">
      <formula>0</formula>
      <formula>0.5</formula>
    </cfRule>
  </conditionalFormatting>
  <dataValidations count="3">
    <dataValidation type="list" allowBlank="1" showInputMessage="1" showErrorMessage="1" sqref="C78:C79 C95:C98 C68:C75 C83:C91 C24:C32 C53:C61 C10:C19 C21 C38:C47 C49:C50" xr:uid="{B4276590-689E-4345-B018-BFC680A3F64E}">
      <formula1>#REF!</formula1>
    </dataValidation>
    <dataValidation type="list" showInputMessage="1" showErrorMessage="1" sqref="C20 C48" xr:uid="{3C062907-1469-4963-A705-8E70BE8950F7}">
      <formula1>$P$7:$P$9</formula1>
    </dataValidation>
    <dataValidation allowBlank="1" showInputMessage="1" showErrorMessage="1" error="Vous devez avoir répondu &quot;Oui&quot; pour pouvoir modifier les cellules" sqref="B24:B32 B38:B49" xr:uid="{6B9494A9-C2A2-402A-A68B-18969FB11D16}"/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ecb9217-24f2-4b18-b117-100c3ebdd9c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FA5852C94EBA468E5FF43D2F57BAF0" ma:contentTypeVersion="15" ma:contentTypeDescription="Create a new document." ma:contentTypeScope="" ma:versionID="cf9c57e7e8325e785892581ea5db6cb3">
  <xsd:schema xmlns:xsd="http://www.w3.org/2001/XMLSchema" xmlns:xs="http://www.w3.org/2001/XMLSchema" xmlns:p="http://schemas.microsoft.com/office/2006/metadata/properties" xmlns:ns3="a956be58-250e-47c9-9e99-db1263e5bf3c" xmlns:ns4="becb9217-24f2-4b18-b117-100c3ebdd9cf" targetNamespace="http://schemas.microsoft.com/office/2006/metadata/properties" ma:root="true" ma:fieldsID="d7aa537882624c22c326f2cffe9ffb1b" ns3:_="" ns4:_="">
    <xsd:import namespace="a956be58-250e-47c9-9e99-db1263e5bf3c"/>
    <xsd:import namespace="becb9217-24f2-4b18-b117-100c3ebdd9cf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DateTaken" minOccurs="0"/>
                <xsd:element ref="ns4:MediaServiceObjectDetectorVersions" minOccurs="0"/>
                <xsd:element ref="ns4:MediaLengthInSecond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6be58-250e-47c9-9e99-db1263e5bf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cb9217-24f2-4b18-b117-100c3ebdd9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34181D-DFE9-4492-9BCD-A517B1D0B9BC}">
  <ds:schemaRefs>
    <ds:schemaRef ds:uri="a956be58-250e-47c9-9e99-db1263e5bf3c"/>
    <ds:schemaRef ds:uri="http://purl.org/dc/elements/1.1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becb9217-24f2-4b18-b117-100c3ebdd9cf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287F707D-F406-4BEA-A910-A2ED96D2BB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C42F7D3-79D2-449F-8DCC-B31F39181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56be58-250e-47c9-9e99-db1263e5bf3c"/>
    <ds:schemaRef ds:uri="becb9217-24f2-4b18-b117-100c3ebdd9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Cartographie des risques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Pauline GAUTIER</dc:creator>
  <cp:keywords/>
  <dc:description/>
  <cp:lastModifiedBy>Bruno GORICHON</cp:lastModifiedBy>
  <cp:revision/>
  <cp:lastPrinted>2024-10-23T11:09:50Z</cp:lastPrinted>
  <dcterms:created xsi:type="dcterms:W3CDTF">2024-10-21T12:31:42Z</dcterms:created>
  <dcterms:modified xsi:type="dcterms:W3CDTF">2025-10-09T14:24:46Z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0x010100E7FA5852C94EBA468E5FF43D2F57BAF0</vt:lpwstr>
  </property>
</Properties>
</file>